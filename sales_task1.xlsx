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4ac05fc7290a00/Documents/"/>
    </mc:Choice>
  </mc:AlternateContent>
  <xr:revisionPtr revIDLastSave="66" documentId="8_{228C3F4D-E981-4114-8C82-61E7F74C8F53}" xr6:coauthVersionLast="47" xr6:coauthVersionMax="47" xr10:uidLastSave="{106FF6F5-167F-449A-AC5D-6D2A6FA083AB}"/>
  <bookViews>
    <workbookView xWindow="-108" yWindow="-108" windowWidth="23256" windowHeight="12456" activeTab="4" xr2:uid="{21EFCB40-85B9-44B1-9897-6539CFEC73F2}"/>
  </bookViews>
  <sheets>
    <sheet name="Sheet2" sheetId="2" r:id="rId1"/>
    <sheet name="Sheet4" sheetId="4" r:id="rId2"/>
    <sheet name="Sheet3" sheetId="3" r:id="rId3"/>
    <sheet name="Sheet5" sheetId="5" r:id="rId4"/>
    <sheet name="Sheet6" sheetId="6" r:id="rId5"/>
    <sheet name="Sheet1" sheetId="1" r:id="rId6"/>
  </sheets>
  <definedNames>
    <definedName name="_xlnm._FilterDatabase" localSheetId="5" hidden="1">Sheet1!$A$1:$H$26</definedName>
  </definedNames>
  <calcPr calcId="191029"/>
  <pivotCaches>
    <pivotCache cacheId="7" r:id="rId7"/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G2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<sst xmlns="http://schemas.openxmlformats.org/spreadsheetml/2006/main" count="134" uniqueCount="48">
  <si>
    <t>Product</t>
  </si>
  <si>
    <t>Category</t>
  </si>
  <si>
    <t>Region</t>
  </si>
  <si>
    <t>Quantity</t>
  </si>
  <si>
    <t>Price</t>
  </si>
  <si>
    <t>Sales</t>
  </si>
  <si>
    <t>Laptop Pro</t>
  </si>
  <si>
    <t>Technology</t>
  </si>
  <si>
    <t>North</t>
  </si>
  <si>
    <t>Office Chair</t>
  </si>
  <si>
    <t>Furniture</t>
  </si>
  <si>
    <t>West</t>
  </si>
  <si>
    <t>Wireless Mouse</t>
  </si>
  <si>
    <t>Accessories</t>
  </si>
  <si>
    <t>East</t>
  </si>
  <si>
    <t>Standing Desk</t>
  </si>
  <si>
    <t>South</t>
  </si>
  <si>
    <t>Tablet X</t>
  </si>
  <si>
    <t>Monitor 27in</t>
  </si>
  <si>
    <t>Printer Ink</t>
  </si>
  <si>
    <t>Notebook Pack</t>
  </si>
  <si>
    <t>Stationery</t>
  </si>
  <si>
    <t>Smartphone A</t>
  </si>
  <si>
    <t>Desk Lamp</t>
  </si>
  <si>
    <t>Keyboard Mechanical</t>
  </si>
  <si>
    <t>Whiteboard</t>
  </si>
  <si>
    <t>External Hard Drive</t>
  </si>
  <si>
    <t>Pen Set</t>
  </si>
  <si>
    <t>Router AX</t>
  </si>
  <si>
    <t>Filing Cabinet</t>
  </si>
  <si>
    <t>USB-C Hub</t>
  </si>
  <si>
    <t>Paper Ream</t>
  </si>
  <si>
    <t>Webcam HD</t>
  </si>
  <si>
    <t>Ergonomic Chair</t>
  </si>
  <si>
    <t>Stylus Pen</t>
  </si>
  <si>
    <t>Calculator</t>
  </si>
  <si>
    <t>Laptop Air</t>
  </si>
  <si>
    <t>Desk Organizer</t>
  </si>
  <si>
    <t>Bluetooth Speaker</t>
  </si>
  <si>
    <t>Order_ Date</t>
  </si>
  <si>
    <t>total sales=26,840</t>
  </si>
  <si>
    <t>Row Labels</t>
  </si>
  <si>
    <t>(blank)</t>
  </si>
  <si>
    <t>Grand Total</t>
  </si>
  <si>
    <t>Sum of Sales</t>
  </si>
  <si>
    <t>laptop</t>
  </si>
  <si>
    <t>Month</t>
  </si>
  <si>
    <t>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</si>
</sst>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,##0.00"/>
    <numFmt numFmtId="166" formatCode="[$-14009]dd/mm/yyyy;@"/>
    <numFmt numFmtId="168" formatCode="[$-14009]dd/mm/yy;@"/>
    <numFmt numFmtId="170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6" fontId="0" fillId="0" borderId="0" xfId="0" applyNumberFormat="1"/>
    <xf numFmtId="168" fontId="0" fillId="0" borderId="0" xfId="0" applyNumberForma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[sales_task1.xlsx]Sheet2!PivotTable1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Sheet2!$A$4:$A$30</c:f>
              <c:strCache>
                <c:ptCount val="26"/>
                <c:pt idx="0">
                  <c:v>(blank)</c:v>
                </c:pt>
                <c:pt idx="1">
                  <c:v>Smartphone A</c:v>
                </c:pt>
                <c:pt idx="2">
                  <c:v>Laptop Air</c:v>
                </c:pt>
                <c:pt idx="3">
                  <c:v>Tablet X</c:v>
                </c:pt>
                <c:pt idx="4">
                  <c:v>Laptop Pro</c:v>
                </c:pt>
                <c:pt idx="5">
                  <c:v>Monitor 27in</c:v>
                </c:pt>
                <c:pt idx="6">
                  <c:v>Ergonomic Chair</c:v>
                </c:pt>
                <c:pt idx="7">
                  <c:v>Standing Desk</c:v>
                </c:pt>
                <c:pt idx="8">
                  <c:v>Office Chair</c:v>
                </c:pt>
                <c:pt idx="9">
                  <c:v>External Hard Drive</c:v>
                </c:pt>
                <c:pt idx="10">
                  <c:v>Keyboard Mechanical</c:v>
                </c:pt>
                <c:pt idx="11">
                  <c:v>Router AX</c:v>
                </c:pt>
                <c:pt idx="12">
                  <c:v>Filing Cabinet</c:v>
                </c:pt>
                <c:pt idx="13">
                  <c:v>Printer Ink</c:v>
                </c:pt>
                <c:pt idx="14">
                  <c:v>Whiteboard</c:v>
                </c:pt>
                <c:pt idx="15">
                  <c:v>Bluetooth Speaker</c:v>
                </c:pt>
                <c:pt idx="16">
                  <c:v>Desk Lamp</c:v>
                </c:pt>
                <c:pt idx="17">
                  <c:v>Webcam HD</c:v>
                </c:pt>
                <c:pt idx="18">
                  <c:v>USB-C Hub</c:v>
                </c:pt>
                <c:pt idx="19">
                  <c:v>Stylus Pen</c:v>
                </c:pt>
                <c:pt idx="20">
                  <c:v>Paper Ream</c:v>
                </c:pt>
                <c:pt idx="21">
                  <c:v>Wireless Mouse</c:v>
                </c:pt>
                <c:pt idx="22">
                  <c:v>Desk Organizer</c:v>
                </c:pt>
                <c:pt idx="23">
                  <c:v>Calculator</c:v>
                </c:pt>
                <c:pt idx="24">
                  <c:v>Notebook Pack</c:v>
                </c:pt>
                <c:pt idx="25">
                  <c:v>Pen Set</c:v>
                </c:pt>
              </c:strCache>
            </c:strRef>
          </c:cat>
          <c:val>
            <c:numRef>
              <c:f>Sheet2!$B$4:$B$30</c:f>
              <c:numCache>
                <c:formatCode>"₹"\ #,##0</c:formatCode>
                <c:ptCount val="26"/>
                <c:pt idx="0">
                  <c:v>26840</c:v>
                </c:pt>
                <c:pt idx="1">
                  <c:v>4500</c:v>
                </c:pt>
                <c:pt idx="2">
                  <c:v>4000</c:v>
                </c:pt>
                <c:pt idx="3">
                  <c:v>2600</c:v>
                </c:pt>
                <c:pt idx="4">
                  <c:v>2400</c:v>
                </c:pt>
                <c:pt idx="5">
                  <c:v>1800</c:v>
                </c:pt>
                <c:pt idx="6">
                  <c:v>1560</c:v>
                </c:pt>
                <c:pt idx="7">
                  <c:v>1350</c:v>
                </c:pt>
                <c:pt idx="8">
                  <c:v>900</c:v>
                </c:pt>
                <c:pt idx="9">
                  <c:v>840</c:v>
                </c:pt>
                <c:pt idx="10">
                  <c:v>770</c:v>
                </c:pt>
                <c:pt idx="11">
                  <c:v>660</c:v>
                </c:pt>
                <c:pt idx="12">
                  <c:v>640</c:v>
                </c:pt>
                <c:pt idx="13">
                  <c:v>600</c:v>
                </c:pt>
                <c:pt idx="14">
                  <c:v>600</c:v>
                </c:pt>
                <c:pt idx="15">
                  <c:v>595</c:v>
                </c:pt>
                <c:pt idx="16">
                  <c:v>480</c:v>
                </c:pt>
                <c:pt idx="17">
                  <c:v>475</c:v>
                </c:pt>
                <c:pt idx="18">
                  <c:v>405</c:v>
                </c:pt>
                <c:pt idx="19">
                  <c:v>360</c:v>
                </c:pt>
                <c:pt idx="20">
                  <c:v>360</c:v>
                </c:pt>
                <c:pt idx="21">
                  <c:v>250</c:v>
                </c:pt>
                <c:pt idx="22">
                  <c:v>210</c:v>
                </c:pt>
                <c:pt idx="23">
                  <c:v>200</c:v>
                </c:pt>
                <c:pt idx="24">
                  <c:v>160</c:v>
                </c:pt>
                <c:pt idx="25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3-49D2-B5DC-EC0FDAC5B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6041248"/>
        <c:axId val="566042208"/>
      </c:barChart>
      <c:catAx>
        <c:axId val="56604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42208"/>
        <c:crosses val="autoZero"/>
        <c:auto val="1"/>
        <c:lblAlgn val="ctr"/>
        <c:lblOffset val="100"/>
        <c:noMultiLvlLbl val="0"/>
      </c:catAx>
      <c:valAx>
        <c:axId val="56604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4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[sales_task1.xlsx]Sheet5!PivotTable3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Sheet5!$A$4:$A$9</c:f>
              <c:strCache>
                <c:ptCount val="5"/>
                <c:pt idx="0">
                  <c:v>(blank)</c:v>
                </c:pt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Sheet5!$B$4:$B$9</c:f>
              <c:numCache>
                <c:formatCode>"₹"\ #,##0</c:formatCode>
                <c:ptCount val="5"/>
                <c:pt idx="0">
                  <c:v>26840</c:v>
                </c:pt>
                <c:pt idx="1">
                  <c:v>11700</c:v>
                </c:pt>
                <c:pt idx="2">
                  <c:v>6755</c:v>
                </c:pt>
                <c:pt idx="3">
                  <c:v>4520</c:v>
                </c:pt>
                <c:pt idx="4">
                  <c:v>3865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F-4C6B-A64F-68FAF3553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[sales_task1.xlsx]Sheet6!PivotTable4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Sheet6!$A$4:$A$6</c:f>
              <c:strCache>
                <c:ptCount val="2"/>
                <c:pt idx="0">
                  <c:v>Jan-2025</c:v>
                </c:pt>
                <c:pt idx="1">
                  <c:v>(blank)</c:v>
                </c:pt>
              </c:strCache>
            </c:strRef>
          </c:cat>
          <c:val>
            <c:numRef>
              <c:f>Sheet6!$B$4:$B$6</c:f>
              <c:numCache>
                <c:formatCode>"₹"\ #,##0</c:formatCode>
                <c:ptCount val="2"/>
                <c:pt idx="0">
                  <c:v>26840</c:v>
                </c:pt>
                <c:pt idx="1">
                  <c:v>26840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8-4664-8615-32699844C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9723152"/>
        <c:axId val="639726032"/>
      </c:lineChart>
      <c:catAx>
        <c:axId val="63972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726032"/>
        <c:crosses val="autoZero"/>
        <c:auto val="1"/>
        <c:lblAlgn val="ctr"/>
        <c:lblOffset val="100"/>
        <c:noMultiLvlLbl val="0"/>
      </c:catAx>
      <c:valAx>
        <c:axId val="6397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72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8</xdr:row>
      <xdr:rowOff>148590</xdr:rowOff>
    </xdr:from>
    <xdr:to>
      <xdr:col>11</xdr:col>
      <xdr:colOff>137160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D1417-235E-1D24-D72E-668C82B2B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8</xdr:row>
      <xdr:rowOff>148590</xdr:rowOff>
    </xdr:from>
    <xdr:to>
      <xdr:col>11</xdr:col>
      <xdr:colOff>556260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88E12C-6530-7F1B-0F82-D8911CFA8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8</xdr:row>
      <xdr:rowOff>148590</xdr:rowOff>
    </xdr:from>
    <xdr:to>
      <xdr:col>11</xdr:col>
      <xdr:colOff>556260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4C6A6D-5061-8A65-068D-7C93465CF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ANTHI" refreshedDate="46037.538619791667" createdVersion="8" refreshedVersion="8" minRefreshableVersion="3" recordCount="26" xr:uid="{2B30C069-45DB-4FA5-99E9-151B3CDCDEFB}">
  <cacheSource type="worksheet">
    <worksheetSource ref="A1:G27" sheet="Sheet1"/>
  </cacheSource>
  <cacheFields count="7">
    <cacheField name="Order_ Date" numFmtId="0">
      <sharedItems containsNonDate="0" containsDate="1" containsString="0" containsBlank="1" minDate="2025-01-02T00:00:00" maxDate="2025-01-27T00:00:00"/>
    </cacheField>
    <cacheField name="Product" numFmtId="0">
      <sharedItems containsBlank="1" count="26">
        <s v="Laptop Pro"/>
        <s v="Office Chair"/>
        <s v="Wireless Mouse"/>
        <s v="Standing Desk"/>
        <s v="Tablet X"/>
        <s v="Monitor 27in"/>
        <s v="Printer Ink"/>
        <s v="Notebook Pack"/>
        <s v="Smartphone A"/>
        <s v="Desk Lamp"/>
        <s v="Keyboard Mechanical"/>
        <s v="Whiteboard"/>
        <s v="External Hard Drive"/>
        <s v="Pen Set"/>
        <s v="Router AX"/>
        <s v="Filing Cabinet"/>
        <s v="USB-C Hub"/>
        <s v="Paper Ream"/>
        <s v="Webcam HD"/>
        <s v="Ergonomic Chair"/>
        <s v="Stylus Pen"/>
        <s v="Calculator"/>
        <s v="Laptop Air"/>
        <s v="Desk Organizer"/>
        <s v="Bluetooth Speaker"/>
        <m/>
      </sharedItems>
    </cacheField>
    <cacheField name="Category" numFmtId="0">
      <sharedItems containsBlank="1" count="5">
        <s v="Technology"/>
        <s v="Furniture"/>
        <s v="Accessories"/>
        <s v="Stationery"/>
        <m/>
      </sharedItems>
    </cacheField>
    <cacheField name="Region" numFmtId="0">
      <sharedItems containsBlank="1" count="5">
        <s v="North"/>
        <s v="West"/>
        <s v="East"/>
        <s v="South"/>
        <m/>
      </sharedItems>
    </cacheField>
    <cacheField name="Quantity" numFmtId="0">
      <sharedItems containsString="0" containsBlank="1" containsNumber="1" containsInteger="1" minValue="2" maxValue="30"/>
    </cacheField>
    <cacheField name="Price" numFmtId="0">
      <sharedItems containsString="0" containsBlank="1" containsNumber="1" containsInteger="1" minValue="5" maxValue="1200"/>
    </cacheField>
    <cacheField name="Sales" numFmtId="170">
      <sharedItems containsSemiMixedTypes="0" containsString="0" containsNumber="1" containsInteger="1" minValue="125" maxValue="26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ANTHI" refreshedDate="46037.544604513889" createdVersion="8" refreshedVersion="8" minRefreshableVersion="3" recordCount="26" xr:uid="{68B1704A-5B47-468A-ADC8-922DA45A653D}">
  <cacheSource type="worksheet">
    <worksheetSource ref="A1:H27" sheet="Sheet1"/>
  </cacheSource>
  <cacheFields count="8">
    <cacheField name="Order_ Date" numFmtId="0">
      <sharedItems containsNonDate="0" containsDate="1" containsString="0" containsBlank="1" minDate="2025-01-02T00:00:00" maxDate="2025-01-27T00:00:00"/>
    </cacheField>
    <cacheField name="Product" numFmtId="0">
      <sharedItems containsBlank="1"/>
    </cacheField>
    <cacheField name="Category" numFmtId="0">
      <sharedItems containsBlank="1"/>
    </cacheField>
    <cacheField name="Region" numFmtId="0">
      <sharedItems containsBlank="1"/>
    </cacheField>
    <cacheField name="Quantity" numFmtId="0">
      <sharedItems containsString="0" containsBlank="1" containsNumber="1" containsInteger="1" minValue="2" maxValue="30"/>
    </cacheField>
    <cacheField name="Price" numFmtId="0">
      <sharedItems containsString="0" containsBlank="1" containsNumber="1" containsInteger="1" minValue="5" maxValue="1200"/>
    </cacheField>
    <cacheField name="Sales" numFmtId="170">
      <sharedItems containsSemiMixedTypes="0" containsString="0" containsNumber="1" containsInteger="1" minValue="125" maxValue="26840"/>
    </cacheField>
    <cacheField name="Month" numFmtId="0">
      <sharedItems containsBlank="1" count="2">
        <s v="Jan-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d v="2025-01-02T00:00:00"/>
    <x v="0"/>
    <x v="0"/>
    <x v="0"/>
    <n v="2"/>
    <n v="1200"/>
    <n v="2400"/>
  </r>
  <r>
    <d v="2025-01-03T00:00:00"/>
    <x v="1"/>
    <x v="1"/>
    <x v="1"/>
    <n v="5"/>
    <n v="180"/>
    <n v="900"/>
  </r>
  <r>
    <d v="2025-01-04T00:00:00"/>
    <x v="2"/>
    <x v="2"/>
    <x v="2"/>
    <n v="10"/>
    <n v="25"/>
    <n v="250"/>
  </r>
  <r>
    <d v="2025-01-05T00:00:00"/>
    <x v="3"/>
    <x v="1"/>
    <x v="3"/>
    <n v="3"/>
    <n v="450"/>
    <n v="1350"/>
  </r>
  <r>
    <d v="2025-01-06T00:00:00"/>
    <x v="4"/>
    <x v="0"/>
    <x v="0"/>
    <n v="4"/>
    <n v="650"/>
    <n v="2600"/>
  </r>
  <r>
    <d v="2025-01-07T00:00:00"/>
    <x v="5"/>
    <x v="0"/>
    <x v="1"/>
    <n v="6"/>
    <n v="300"/>
    <n v="1800"/>
  </r>
  <r>
    <d v="2025-01-08T00:00:00"/>
    <x v="6"/>
    <x v="2"/>
    <x v="2"/>
    <n v="15"/>
    <n v="40"/>
    <n v="600"/>
  </r>
  <r>
    <d v="2025-01-09T00:00:00"/>
    <x v="7"/>
    <x v="3"/>
    <x v="3"/>
    <n v="20"/>
    <n v="8"/>
    <n v="160"/>
  </r>
  <r>
    <d v="2025-01-10T00:00:00"/>
    <x v="8"/>
    <x v="0"/>
    <x v="0"/>
    <n v="5"/>
    <n v="900"/>
    <n v="4500"/>
  </r>
  <r>
    <d v="2025-01-11T00:00:00"/>
    <x v="9"/>
    <x v="1"/>
    <x v="1"/>
    <n v="8"/>
    <n v="60"/>
    <n v="480"/>
  </r>
  <r>
    <d v="2025-01-12T00:00:00"/>
    <x v="10"/>
    <x v="2"/>
    <x v="2"/>
    <n v="7"/>
    <n v="110"/>
    <n v="770"/>
  </r>
  <r>
    <d v="2025-01-13T00:00:00"/>
    <x v="11"/>
    <x v="1"/>
    <x v="3"/>
    <n v="4"/>
    <n v="150"/>
    <n v="600"/>
  </r>
  <r>
    <d v="2025-01-14T00:00:00"/>
    <x v="12"/>
    <x v="0"/>
    <x v="0"/>
    <n v="6"/>
    <n v="140"/>
    <n v="840"/>
  </r>
  <r>
    <d v="2025-01-15T00:00:00"/>
    <x v="13"/>
    <x v="3"/>
    <x v="1"/>
    <n v="25"/>
    <n v="5"/>
    <n v="125"/>
  </r>
  <r>
    <d v="2025-01-16T00:00:00"/>
    <x v="14"/>
    <x v="0"/>
    <x v="2"/>
    <n v="3"/>
    <n v="220"/>
    <n v="660"/>
  </r>
  <r>
    <d v="2025-01-17T00:00:00"/>
    <x v="15"/>
    <x v="1"/>
    <x v="3"/>
    <n v="2"/>
    <n v="320"/>
    <n v="640"/>
  </r>
  <r>
    <d v="2025-01-18T00:00:00"/>
    <x v="16"/>
    <x v="2"/>
    <x v="0"/>
    <n v="9"/>
    <n v="45"/>
    <n v="405"/>
  </r>
  <r>
    <d v="2025-01-19T00:00:00"/>
    <x v="17"/>
    <x v="3"/>
    <x v="1"/>
    <n v="30"/>
    <n v="12"/>
    <n v="360"/>
  </r>
  <r>
    <d v="2025-01-20T00:00:00"/>
    <x v="18"/>
    <x v="0"/>
    <x v="2"/>
    <n v="5"/>
    <n v="95"/>
    <n v="475"/>
  </r>
  <r>
    <d v="2025-01-21T00:00:00"/>
    <x v="19"/>
    <x v="1"/>
    <x v="3"/>
    <n v="3"/>
    <n v="520"/>
    <n v="1560"/>
  </r>
  <r>
    <d v="2025-01-22T00:00:00"/>
    <x v="20"/>
    <x v="2"/>
    <x v="0"/>
    <n v="12"/>
    <n v="30"/>
    <n v="360"/>
  </r>
  <r>
    <d v="2025-01-23T00:00:00"/>
    <x v="21"/>
    <x v="3"/>
    <x v="1"/>
    <n v="10"/>
    <n v="20"/>
    <n v="200"/>
  </r>
  <r>
    <d v="2025-01-24T00:00:00"/>
    <x v="22"/>
    <x v="0"/>
    <x v="2"/>
    <n v="4"/>
    <n v="1000"/>
    <n v="4000"/>
  </r>
  <r>
    <d v="2025-01-25T00:00:00"/>
    <x v="23"/>
    <x v="1"/>
    <x v="3"/>
    <n v="6"/>
    <n v="35"/>
    <n v="210"/>
  </r>
  <r>
    <d v="2025-01-26T00:00:00"/>
    <x v="24"/>
    <x v="2"/>
    <x v="0"/>
    <n v="7"/>
    <n v="85"/>
    <n v="595"/>
  </r>
  <r>
    <m/>
    <x v="25"/>
    <x v="4"/>
    <x v="4"/>
    <m/>
    <m/>
    <n v="268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d v="2025-01-02T00:00:00"/>
    <s v="Laptop Pro"/>
    <s v="Technology"/>
    <s v="North"/>
    <n v="2"/>
    <n v="1200"/>
    <n v="2400"/>
    <x v="0"/>
  </r>
  <r>
    <d v="2025-01-03T00:00:00"/>
    <s v="Office Chair"/>
    <s v="Furniture"/>
    <s v="West"/>
    <n v="5"/>
    <n v="180"/>
    <n v="900"/>
    <x v="0"/>
  </r>
  <r>
    <d v="2025-01-04T00:00:00"/>
    <s v="Wireless Mouse"/>
    <s v="Accessories"/>
    <s v="East"/>
    <n v="10"/>
    <n v="25"/>
    <n v="250"/>
    <x v="0"/>
  </r>
  <r>
    <d v="2025-01-05T00:00:00"/>
    <s v="Standing Desk"/>
    <s v="Furniture"/>
    <s v="South"/>
    <n v="3"/>
    <n v="450"/>
    <n v="1350"/>
    <x v="0"/>
  </r>
  <r>
    <d v="2025-01-06T00:00:00"/>
    <s v="Tablet X"/>
    <s v="Technology"/>
    <s v="North"/>
    <n v="4"/>
    <n v="650"/>
    <n v="2600"/>
    <x v="0"/>
  </r>
  <r>
    <d v="2025-01-07T00:00:00"/>
    <s v="Monitor 27in"/>
    <s v="Technology"/>
    <s v="West"/>
    <n v="6"/>
    <n v="300"/>
    <n v="1800"/>
    <x v="0"/>
  </r>
  <r>
    <d v="2025-01-08T00:00:00"/>
    <s v="Printer Ink"/>
    <s v="Accessories"/>
    <s v="East"/>
    <n v="15"/>
    <n v="40"/>
    <n v="600"/>
    <x v="0"/>
  </r>
  <r>
    <d v="2025-01-09T00:00:00"/>
    <s v="Notebook Pack"/>
    <s v="Stationery"/>
    <s v="South"/>
    <n v="20"/>
    <n v="8"/>
    <n v="160"/>
    <x v="0"/>
  </r>
  <r>
    <d v="2025-01-10T00:00:00"/>
    <s v="Smartphone A"/>
    <s v="Technology"/>
    <s v="North"/>
    <n v="5"/>
    <n v="900"/>
    <n v="4500"/>
    <x v="0"/>
  </r>
  <r>
    <d v="2025-01-11T00:00:00"/>
    <s v="Desk Lamp"/>
    <s v="Furniture"/>
    <s v="West"/>
    <n v="8"/>
    <n v="60"/>
    <n v="480"/>
    <x v="0"/>
  </r>
  <r>
    <d v="2025-01-12T00:00:00"/>
    <s v="Keyboard Mechanical"/>
    <s v="Accessories"/>
    <s v="East"/>
    <n v="7"/>
    <n v="110"/>
    <n v="770"/>
    <x v="0"/>
  </r>
  <r>
    <d v="2025-01-13T00:00:00"/>
    <s v="Whiteboard"/>
    <s v="Furniture"/>
    <s v="South"/>
    <n v="4"/>
    <n v="150"/>
    <n v="600"/>
    <x v="0"/>
  </r>
  <r>
    <d v="2025-01-14T00:00:00"/>
    <s v="External Hard Drive"/>
    <s v="Technology"/>
    <s v="North"/>
    <n v="6"/>
    <n v="140"/>
    <n v="840"/>
    <x v="0"/>
  </r>
  <r>
    <d v="2025-01-15T00:00:00"/>
    <s v="Pen Set"/>
    <s v="Stationery"/>
    <s v="West"/>
    <n v="25"/>
    <n v="5"/>
    <n v="125"/>
    <x v="0"/>
  </r>
  <r>
    <d v="2025-01-16T00:00:00"/>
    <s v="Router AX"/>
    <s v="Technology"/>
    <s v="East"/>
    <n v="3"/>
    <n v="220"/>
    <n v="660"/>
    <x v="0"/>
  </r>
  <r>
    <d v="2025-01-17T00:00:00"/>
    <s v="Filing Cabinet"/>
    <s v="Furniture"/>
    <s v="South"/>
    <n v="2"/>
    <n v="320"/>
    <n v="640"/>
    <x v="0"/>
  </r>
  <r>
    <d v="2025-01-18T00:00:00"/>
    <s v="USB-C Hub"/>
    <s v="Accessories"/>
    <s v="North"/>
    <n v="9"/>
    <n v="45"/>
    <n v="405"/>
    <x v="0"/>
  </r>
  <r>
    <d v="2025-01-19T00:00:00"/>
    <s v="Paper Ream"/>
    <s v="Stationery"/>
    <s v="West"/>
    <n v="30"/>
    <n v="12"/>
    <n v="360"/>
    <x v="0"/>
  </r>
  <r>
    <d v="2025-01-20T00:00:00"/>
    <s v="Webcam HD"/>
    <s v="Technology"/>
    <s v="East"/>
    <n v="5"/>
    <n v="95"/>
    <n v="475"/>
    <x v="0"/>
  </r>
  <r>
    <d v="2025-01-21T00:00:00"/>
    <s v="Ergonomic Chair"/>
    <s v="Furniture"/>
    <s v="South"/>
    <n v="3"/>
    <n v="520"/>
    <n v="1560"/>
    <x v="0"/>
  </r>
  <r>
    <d v="2025-01-22T00:00:00"/>
    <s v="Stylus Pen"/>
    <s v="Accessories"/>
    <s v="North"/>
    <n v="12"/>
    <n v="30"/>
    <n v="360"/>
    <x v="0"/>
  </r>
  <r>
    <d v="2025-01-23T00:00:00"/>
    <s v="Calculator"/>
    <s v="Stationery"/>
    <s v="West"/>
    <n v="10"/>
    <n v="20"/>
    <n v="200"/>
    <x v="0"/>
  </r>
  <r>
    <d v="2025-01-24T00:00:00"/>
    <s v="Laptop Air"/>
    <s v="Technology"/>
    <s v="East"/>
    <n v="4"/>
    <n v="1000"/>
    <n v="4000"/>
    <x v="0"/>
  </r>
  <r>
    <d v="2025-01-25T00:00:00"/>
    <s v="Desk Organizer"/>
    <s v="Furniture"/>
    <s v="South"/>
    <n v="6"/>
    <n v="35"/>
    <n v="210"/>
    <x v="0"/>
  </r>
  <r>
    <d v="2025-01-26T00:00:00"/>
    <s v="Bluetooth Speaker"/>
    <s v="Accessories"/>
    <s v="North"/>
    <n v="7"/>
    <n v="85"/>
    <n v="595"/>
    <x v="0"/>
  </r>
  <r>
    <m/>
    <m/>
    <m/>
    <m/>
    <m/>
    <m/>
    <n v="2684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6935D-8538-44EA-9BC8-56E6F571AB9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0" firstHeaderRow="1" firstDataRow="1" firstDataCol="1"/>
  <pivotFields count="7">
    <pivotField showAll="0"/>
    <pivotField axis="axisRow" showAll="0" sortType="descending">
      <items count="27">
        <item x="24"/>
        <item x="21"/>
        <item x="9"/>
        <item x="23"/>
        <item x="19"/>
        <item x="12"/>
        <item x="15"/>
        <item x="10"/>
        <item x="22"/>
        <item x="0"/>
        <item x="5"/>
        <item x="7"/>
        <item x="1"/>
        <item x="17"/>
        <item x="13"/>
        <item x="6"/>
        <item x="14"/>
        <item x="8"/>
        <item x="3"/>
        <item x="20"/>
        <item x="4"/>
        <item x="16"/>
        <item x="18"/>
        <item x="11"/>
        <item x="2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70" showAll="0"/>
  </pivotFields>
  <rowFields count="1">
    <field x="1"/>
  </rowFields>
  <rowItems count="27">
    <i>
      <x v="25"/>
    </i>
    <i>
      <x v="17"/>
    </i>
    <i>
      <x v="8"/>
    </i>
    <i>
      <x v="20"/>
    </i>
    <i>
      <x v="9"/>
    </i>
    <i>
      <x v="10"/>
    </i>
    <i>
      <x v="4"/>
    </i>
    <i>
      <x v="18"/>
    </i>
    <i>
      <x v="12"/>
    </i>
    <i>
      <x v="5"/>
    </i>
    <i>
      <x v="7"/>
    </i>
    <i>
      <x v="16"/>
    </i>
    <i>
      <x v="6"/>
    </i>
    <i>
      <x v="15"/>
    </i>
    <i>
      <x v="23"/>
    </i>
    <i>
      <x/>
    </i>
    <i>
      <x v="2"/>
    </i>
    <i>
      <x v="22"/>
    </i>
    <i>
      <x v="21"/>
    </i>
    <i>
      <x v="19"/>
    </i>
    <i>
      <x v="13"/>
    </i>
    <i>
      <x v="24"/>
    </i>
    <i>
      <x v="3"/>
    </i>
    <i>
      <x v="1"/>
    </i>
    <i>
      <x v="11"/>
    </i>
    <i>
      <x v="14"/>
    </i>
    <i t="grand">
      <x/>
    </i>
  </rowItems>
  <colItems count="1">
    <i/>
  </colItems>
  <dataFields count="1">
    <dataField name="Sum of Sales" fld="6" baseField="0" baseItem="0" numFmtId="17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F3DB4-787E-487C-B96E-FBDDB73D8D9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7">
    <pivotField showAll="0"/>
    <pivotField showAll="0"/>
    <pivotField axis="axisRow" showAll="0" sortType="descending">
      <items count="6">
        <item x="2"/>
        <item x="1"/>
        <item x="3"/>
        <item x="0"/>
        <item n="laptop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70" showAll="0"/>
  </pivotFields>
  <rowFields count="1">
    <field x="2"/>
  </rowFields>
  <rowItems count="6">
    <i>
      <x v="4"/>
    </i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6" baseField="0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CD1DB-2776-46DC-BD68-17FA7FDB339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7">
    <pivotField showAll="0"/>
    <pivotField showAll="0"/>
    <pivotField showAll="0"/>
    <pivotField axis="axisRow" showAll="0" sortType="descending">
      <items count="6">
        <item x="2"/>
        <item x="0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70" showAll="0"/>
  </pivotFields>
  <rowFields count="1">
    <field x="3"/>
  </rowFields>
  <rowItems count="6">
    <i>
      <x v="4"/>
    </i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Sales" fld="6" baseField="0" baseItem="0" numFmtId="17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3C809-D1F0-47FF-95E5-2FA2E51EA759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8">
    <pivotField showAll="0"/>
    <pivotField showAll="0"/>
    <pivotField showAll="0"/>
    <pivotField showAll="0"/>
    <pivotField showAll="0"/>
    <pivotField showAll="0"/>
    <pivotField dataField="1" numFmtId="170" showAll="0"/>
    <pivotField axis="axisRow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Sales" fld="6" baseField="0" baseItem="0" numFmtId="17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2BCB-3EA4-4D84-9226-6BE71978FA4B}">
  <dimension ref="A3:B30"/>
  <sheetViews>
    <sheetView workbookViewId="0">
      <selection activeCell="B4" sqref="B4"/>
    </sheetView>
  </sheetViews>
  <sheetFormatPr defaultRowHeight="14.4" x14ac:dyDescent="0.3"/>
  <cols>
    <col min="1" max="1" width="18.6640625" bestFit="1" customWidth="1"/>
    <col min="2" max="2" width="11.6640625" bestFit="1" customWidth="1"/>
  </cols>
  <sheetData>
    <row r="3" spans="1:2" x14ac:dyDescent="0.3">
      <c r="A3" s="5" t="s">
        <v>41</v>
      </c>
      <c r="B3" t="s">
        <v>44</v>
      </c>
    </row>
    <row r="4" spans="1:2" x14ac:dyDescent="0.3">
      <c r="A4" s="6" t="s">
        <v>42</v>
      </c>
      <c r="B4" s="4">
        <v>26840</v>
      </c>
    </row>
    <row r="5" spans="1:2" x14ac:dyDescent="0.3">
      <c r="A5" s="6" t="s">
        <v>22</v>
      </c>
      <c r="B5" s="4">
        <v>4500</v>
      </c>
    </row>
    <row r="6" spans="1:2" x14ac:dyDescent="0.3">
      <c r="A6" s="6" t="s">
        <v>36</v>
      </c>
      <c r="B6" s="4">
        <v>4000</v>
      </c>
    </row>
    <row r="7" spans="1:2" x14ac:dyDescent="0.3">
      <c r="A7" s="6" t="s">
        <v>17</v>
      </c>
      <c r="B7" s="4">
        <v>2600</v>
      </c>
    </row>
    <row r="8" spans="1:2" x14ac:dyDescent="0.3">
      <c r="A8" s="6" t="s">
        <v>6</v>
      </c>
      <c r="B8" s="4">
        <v>2400</v>
      </c>
    </row>
    <row r="9" spans="1:2" x14ac:dyDescent="0.3">
      <c r="A9" s="6" t="s">
        <v>18</v>
      </c>
      <c r="B9" s="4">
        <v>1800</v>
      </c>
    </row>
    <row r="10" spans="1:2" x14ac:dyDescent="0.3">
      <c r="A10" s="6" t="s">
        <v>33</v>
      </c>
      <c r="B10" s="4">
        <v>1560</v>
      </c>
    </row>
    <row r="11" spans="1:2" x14ac:dyDescent="0.3">
      <c r="A11" s="6" t="s">
        <v>15</v>
      </c>
      <c r="B11" s="4">
        <v>1350</v>
      </c>
    </row>
    <row r="12" spans="1:2" x14ac:dyDescent="0.3">
      <c r="A12" s="6" t="s">
        <v>9</v>
      </c>
      <c r="B12" s="4">
        <v>900</v>
      </c>
    </row>
    <row r="13" spans="1:2" x14ac:dyDescent="0.3">
      <c r="A13" s="6" t="s">
        <v>26</v>
      </c>
      <c r="B13" s="4">
        <v>840</v>
      </c>
    </row>
    <row r="14" spans="1:2" x14ac:dyDescent="0.3">
      <c r="A14" s="6" t="s">
        <v>24</v>
      </c>
      <c r="B14" s="4">
        <v>770</v>
      </c>
    </row>
    <row r="15" spans="1:2" x14ac:dyDescent="0.3">
      <c r="A15" s="6" t="s">
        <v>28</v>
      </c>
      <c r="B15" s="4">
        <v>660</v>
      </c>
    </row>
    <row r="16" spans="1:2" x14ac:dyDescent="0.3">
      <c r="A16" s="6" t="s">
        <v>29</v>
      </c>
      <c r="B16" s="4">
        <v>640</v>
      </c>
    </row>
    <row r="17" spans="1:2" x14ac:dyDescent="0.3">
      <c r="A17" s="6" t="s">
        <v>19</v>
      </c>
      <c r="B17" s="4">
        <v>600</v>
      </c>
    </row>
    <row r="18" spans="1:2" x14ac:dyDescent="0.3">
      <c r="A18" s="6" t="s">
        <v>25</v>
      </c>
      <c r="B18" s="4">
        <v>600</v>
      </c>
    </row>
    <row r="19" spans="1:2" x14ac:dyDescent="0.3">
      <c r="A19" s="6" t="s">
        <v>38</v>
      </c>
      <c r="B19" s="4">
        <v>595</v>
      </c>
    </row>
    <row r="20" spans="1:2" x14ac:dyDescent="0.3">
      <c r="A20" s="6" t="s">
        <v>23</v>
      </c>
      <c r="B20" s="4">
        <v>480</v>
      </c>
    </row>
    <row r="21" spans="1:2" x14ac:dyDescent="0.3">
      <c r="A21" s="6" t="s">
        <v>32</v>
      </c>
      <c r="B21" s="4">
        <v>475</v>
      </c>
    </row>
    <row r="22" spans="1:2" x14ac:dyDescent="0.3">
      <c r="A22" s="6" t="s">
        <v>30</v>
      </c>
      <c r="B22" s="4">
        <v>405</v>
      </c>
    </row>
    <row r="23" spans="1:2" x14ac:dyDescent="0.3">
      <c r="A23" s="6" t="s">
        <v>34</v>
      </c>
      <c r="B23" s="4">
        <v>360</v>
      </c>
    </row>
    <row r="24" spans="1:2" x14ac:dyDescent="0.3">
      <c r="A24" s="6" t="s">
        <v>31</v>
      </c>
      <c r="B24" s="4">
        <v>360</v>
      </c>
    </row>
    <row r="25" spans="1:2" x14ac:dyDescent="0.3">
      <c r="A25" s="6" t="s">
        <v>12</v>
      </c>
      <c r="B25" s="4">
        <v>250</v>
      </c>
    </row>
    <row r="26" spans="1:2" x14ac:dyDescent="0.3">
      <c r="A26" s="6" t="s">
        <v>37</v>
      </c>
      <c r="B26" s="4">
        <v>210</v>
      </c>
    </row>
    <row r="27" spans="1:2" x14ac:dyDescent="0.3">
      <c r="A27" s="6" t="s">
        <v>35</v>
      </c>
      <c r="B27" s="4">
        <v>200</v>
      </c>
    </row>
    <row r="28" spans="1:2" x14ac:dyDescent="0.3">
      <c r="A28" s="6" t="s">
        <v>20</v>
      </c>
      <c r="B28" s="4">
        <v>160</v>
      </c>
    </row>
    <row r="29" spans="1:2" x14ac:dyDescent="0.3">
      <c r="A29" s="6" t="s">
        <v>27</v>
      </c>
      <c r="B29" s="4">
        <v>125</v>
      </c>
    </row>
    <row r="30" spans="1:2" x14ac:dyDescent="0.3">
      <c r="A30" s="6" t="s">
        <v>43</v>
      </c>
      <c r="B30" s="4">
        <v>53680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48B2-6527-41C4-A6DF-5CB0FE138CEE}">
  <dimension ref="A3:B9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41</v>
      </c>
      <c r="B3" t="s">
        <v>44</v>
      </c>
    </row>
    <row r="4" spans="1:2" x14ac:dyDescent="0.3">
      <c r="A4" s="6" t="s">
        <v>45</v>
      </c>
      <c r="B4" s="4">
        <v>26840</v>
      </c>
    </row>
    <row r="5" spans="1:2" x14ac:dyDescent="0.3">
      <c r="A5" s="6" t="s">
        <v>7</v>
      </c>
      <c r="B5" s="4">
        <v>17275</v>
      </c>
    </row>
    <row r="6" spans="1:2" x14ac:dyDescent="0.3">
      <c r="A6" s="6" t="s">
        <v>10</v>
      </c>
      <c r="B6" s="4">
        <v>5740</v>
      </c>
    </row>
    <row r="7" spans="1:2" x14ac:dyDescent="0.3">
      <c r="A7" s="6" t="s">
        <v>13</v>
      </c>
      <c r="B7" s="4">
        <v>2980</v>
      </c>
    </row>
    <row r="8" spans="1:2" x14ac:dyDescent="0.3">
      <c r="A8" s="6" t="s">
        <v>21</v>
      </c>
      <c r="B8" s="4">
        <v>845</v>
      </c>
    </row>
    <row r="9" spans="1:2" x14ac:dyDescent="0.3">
      <c r="A9" s="6" t="s">
        <v>43</v>
      </c>
      <c r="B9" s="4">
        <v>53680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0E6E-74E5-4CC0-8C49-EDCD735639E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BF61-77BC-4CD2-AF93-4F284B80A19C}">
  <dimension ref="A3:B9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41</v>
      </c>
      <c r="B3" t="s">
        <v>44</v>
      </c>
    </row>
    <row r="4" spans="1:2" x14ac:dyDescent="0.3">
      <c r="A4" s="6" t="s">
        <v>42</v>
      </c>
      <c r="B4" s="4">
        <v>26840</v>
      </c>
    </row>
    <row r="5" spans="1:2" x14ac:dyDescent="0.3">
      <c r="A5" s="6" t="s">
        <v>8</v>
      </c>
      <c r="B5" s="4">
        <v>11700</v>
      </c>
    </row>
    <row r="6" spans="1:2" x14ac:dyDescent="0.3">
      <c r="A6" s="6" t="s">
        <v>14</v>
      </c>
      <c r="B6" s="4">
        <v>6755</v>
      </c>
    </row>
    <row r="7" spans="1:2" x14ac:dyDescent="0.3">
      <c r="A7" s="6" t="s">
        <v>16</v>
      </c>
      <c r="B7" s="4">
        <v>4520</v>
      </c>
    </row>
    <row r="8" spans="1:2" x14ac:dyDescent="0.3">
      <c r="A8" s="6" t="s">
        <v>11</v>
      </c>
      <c r="B8" s="4">
        <v>3865</v>
      </c>
    </row>
    <row r="9" spans="1:2" x14ac:dyDescent="0.3">
      <c r="A9" s="6" t="s">
        <v>43</v>
      </c>
      <c r="B9" s="4">
        <v>53680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A490-96A5-4A24-A331-333405F64C7F}">
  <dimension ref="A3:B6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41</v>
      </c>
      <c r="B3" t="s">
        <v>44</v>
      </c>
    </row>
    <row r="4" spans="1:2" x14ac:dyDescent="0.3">
      <c r="A4" s="6" t="s">
        <v>47</v>
      </c>
      <c r="B4" s="4">
        <v>26840</v>
      </c>
    </row>
    <row r="5" spans="1:2" x14ac:dyDescent="0.3">
      <c r="A5" s="6" t="s">
        <v>42</v>
      </c>
      <c r="B5" s="4">
        <v>26840</v>
      </c>
    </row>
    <row r="6" spans="1:2" x14ac:dyDescent="0.3">
      <c r="A6" s="6" t="s">
        <v>43</v>
      </c>
      <c r="B6" s="4">
        <v>53680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550F-6123-422F-9EB9-C27E4C788DB9}">
  <dimension ref="A1:H34"/>
  <sheetViews>
    <sheetView workbookViewId="0">
      <selection activeCell="B3" sqref="A1:H27"/>
    </sheetView>
  </sheetViews>
  <sheetFormatPr defaultRowHeight="14.4" x14ac:dyDescent="0.3"/>
  <cols>
    <col min="1" max="1" width="12.44140625" customWidth="1"/>
    <col min="2" max="2" width="16.6640625" customWidth="1"/>
    <col min="3" max="3" width="14.109375" customWidth="1"/>
  </cols>
  <sheetData>
    <row r="1" spans="1:8" x14ac:dyDescent="0.3">
      <c r="A1" s="2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46</v>
      </c>
    </row>
    <row r="2" spans="1:8" x14ac:dyDescent="0.3">
      <c r="A2" s="3">
        <v>45659</v>
      </c>
      <c r="B2" t="s">
        <v>6</v>
      </c>
      <c r="C2" t="s">
        <v>7</v>
      </c>
      <c r="D2" t="s">
        <v>8</v>
      </c>
      <c r="E2">
        <v>2</v>
      </c>
      <c r="F2">
        <v>1200</v>
      </c>
      <c r="G2" s="4">
        <f>E2*F2</f>
        <v>2400</v>
      </c>
      <c r="H2" t="str">
        <f>TEXT(A2,"MMM-YYYY")</f>
        <v>Jan-2025</v>
      </c>
    </row>
    <row r="3" spans="1:8" x14ac:dyDescent="0.3">
      <c r="A3" s="3">
        <v>45660</v>
      </c>
      <c r="B3" t="s">
        <v>9</v>
      </c>
      <c r="C3" t="s">
        <v>10</v>
      </c>
      <c r="D3" t="s">
        <v>11</v>
      </c>
      <c r="E3">
        <v>5</v>
      </c>
      <c r="F3">
        <v>180</v>
      </c>
      <c r="G3" s="4">
        <f t="shared" ref="G3:G26" si="0">E3*F3</f>
        <v>900</v>
      </c>
      <c r="H3" t="str">
        <f t="shared" ref="H3:H26" si="1">TEXT(A3,"MMM-YYYY")</f>
        <v>Jan-2025</v>
      </c>
    </row>
    <row r="4" spans="1:8" x14ac:dyDescent="0.3">
      <c r="A4" s="3">
        <v>45661</v>
      </c>
      <c r="B4" t="s">
        <v>12</v>
      </c>
      <c r="C4" t="s">
        <v>13</v>
      </c>
      <c r="D4" t="s">
        <v>14</v>
      </c>
      <c r="E4">
        <v>10</v>
      </c>
      <c r="F4">
        <v>25</v>
      </c>
      <c r="G4" s="4">
        <f t="shared" si="0"/>
        <v>250</v>
      </c>
      <c r="H4" t="str">
        <f t="shared" si="1"/>
        <v>Jan-2025</v>
      </c>
    </row>
    <row r="5" spans="1:8" x14ac:dyDescent="0.3">
      <c r="A5" s="3">
        <v>45662</v>
      </c>
      <c r="B5" t="s">
        <v>15</v>
      </c>
      <c r="C5" t="s">
        <v>10</v>
      </c>
      <c r="D5" t="s">
        <v>16</v>
      </c>
      <c r="E5">
        <v>3</v>
      </c>
      <c r="F5">
        <v>450</v>
      </c>
      <c r="G5" s="4">
        <f t="shared" si="0"/>
        <v>1350</v>
      </c>
      <c r="H5" t="str">
        <f t="shared" si="1"/>
        <v>Jan-2025</v>
      </c>
    </row>
    <row r="6" spans="1:8" x14ac:dyDescent="0.3">
      <c r="A6" s="3">
        <v>45663</v>
      </c>
      <c r="B6" t="s">
        <v>17</v>
      </c>
      <c r="C6" t="s">
        <v>7</v>
      </c>
      <c r="D6" t="s">
        <v>8</v>
      </c>
      <c r="E6">
        <v>4</v>
      </c>
      <c r="F6">
        <v>650</v>
      </c>
      <c r="G6" s="4">
        <f t="shared" si="0"/>
        <v>2600</v>
      </c>
      <c r="H6" t="str">
        <f t="shared" si="1"/>
        <v>Jan-2025</v>
      </c>
    </row>
    <row r="7" spans="1:8" x14ac:dyDescent="0.3">
      <c r="A7" s="3">
        <v>45664</v>
      </c>
      <c r="B7" t="s">
        <v>18</v>
      </c>
      <c r="C7" t="s">
        <v>7</v>
      </c>
      <c r="D7" t="s">
        <v>11</v>
      </c>
      <c r="E7">
        <v>6</v>
      </c>
      <c r="F7">
        <v>300</v>
      </c>
      <c r="G7" s="4">
        <f t="shared" si="0"/>
        <v>1800</v>
      </c>
      <c r="H7" t="str">
        <f t="shared" si="1"/>
        <v>Jan-2025</v>
      </c>
    </row>
    <row r="8" spans="1:8" x14ac:dyDescent="0.3">
      <c r="A8" s="3">
        <v>45665</v>
      </c>
      <c r="B8" t="s">
        <v>19</v>
      </c>
      <c r="C8" t="s">
        <v>13</v>
      </c>
      <c r="D8" t="s">
        <v>14</v>
      </c>
      <c r="E8">
        <v>15</v>
      </c>
      <c r="F8">
        <v>40</v>
      </c>
      <c r="G8" s="4">
        <f t="shared" si="0"/>
        <v>600</v>
      </c>
      <c r="H8" t="str">
        <f t="shared" si="1"/>
        <v>Jan-2025</v>
      </c>
    </row>
    <row r="9" spans="1:8" x14ac:dyDescent="0.3">
      <c r="A9" s="3">
        <v>45666</v>
      </c>
      <c r="B9" t="s">
        <v>20</v>
      </c>
      <c r="C9" t="s">
        <v>21</v>
      </c>
      <c r="D9" t="s">
        <v>16</v>
      </c>
      <c r="E9">
        <v>20</v>
      </c>
      <c r="F9">
        <v>8</v>
      </c>
      <c r="G9" s="4">
        <f t="shared" si="0"/>
        <v>160</v>
      </c>
      <c r="H9" t="str">
        <f t="shared" si="1"/>
        <v>Jan-2025</v>
      </c>
    </row>
    <row r="10" spans="1:8" x14ac:dyDescent="0.3">
      <c r="A10" s="3">
        <v>45667</v>
      </c>
      <c r="B10" t="s">
        <v>22</v>
      </c>
      <c r="C10" t="s">
        <v>7</v>
      </c>
      <c r="D10" t="s">
        <v>8</v>
      </c>
      <c r="E10">
        <v>5</v>
      </c>
      <c r="F10">
        <v>900</v>
      </c>
      <c r="G10" s="4">
        <f t="shared" si="0"/>
        <v>4500</v>
      </c>
      <c r="H10" t="str">
        <f t="shared" si="1"/>
        <v>Jan-2025</v>
      </c>
    </row>
    <row r="11" spans="1:8" x14ac:dyDescent="0.3">
      <c r="A11" s="3">
        <v>45668</v>
      </c>
      <c r="B11" t="s">
        <v>23</v>
      </c>
      <c r="C11" t="s">
        <v>10</v>
      </c>
      <c r="D11" t="s">
        <v>11</v>
      </c>
      <c r="E11">
        <v>8</v>
      </c>
      <c r="F11">
        <v>60</v>
      </c>
      <c r="G11" s="4">
        <f t="shared" si="0"/>
        <v>480</v>
      </c>
      <c r="H11" t="str">
        <f t="shared" si="1"/>
        <v>Jan-2025</v>
      </c>
    </row>
    <row r="12" spans="1:8" x14ac:dyDescent="0.3">
      <c r="A12" s="3">
        <v>45669</v>
      </c>
      <c r="B12" t="s">
        <v>24</v>
      </c>
      <c r="C12" t="s">
        <v>13</v>
      </c>
      <c r="D12" t="s">
        <v>14</v>
      </c>
      <c r="E12">
        <v>7</v>
      </c>
      <c r="F12">
        <v>110</v>
      </c>
      <c r="G12" s="4">
        <f t="shared" si="0"/>
        <v>770</v>
      </c>
      <c r="H12" t="str">
        <f t="shared" si="1"/>
        <v>Jan-2025</v>
      </c>
    </row>
    <row r="13" spans="1:8" x14ac:dyDescent="0.3">
      <c r="A13" s="3">
        <v>45670</v>
      </c>
      <c r="B13" t="s">
        <v>25</v>
      </c>
      <c r="C13" t="s">
        <v>10</v>
      </c>
      <c r="D13" t="s">
        <v>16</v>
      </c>
      <c r="E13">
        <v>4</v>
      </c>
      <c r="F13">
        <v>150</v>
      </c>
      <c r="G13" s="4">
        <f t="shared" si="0"/>
        <v>600</v>
      </c>
      <c r="H13" t="str">
        <f t="shared" si="1"/>
        <v>Jan-2025</v>
      </c>
    </row>
    <row r="14" spans="1:8" x14ac:dyDescent="0.3">
      <c r="A14" s="3">
        <v>45671</v>
      </c>
      <c r="B14" t="s">
        <v>26</v>
      </c>
      <c r="C14" t="s">
        <v>7</v>
      </c>
      <c r="D14" t="s">
        <v>8</v>
      </c>
      <c r="E14">
        <v>6</v>
      </c>
      <c r="F14">
        <v>140</v>
      </c>
      <c r="G14" s="4">
        <f t="shared" si="0"/>
        <v>840</v>
      </c>
      <c r="H14" t="str">
        <f t="shared" si="1"/>
        <v>Jan-2025</v>
      </c>
    </row>
    <row r="15" spans="1:8" x14ac:dyDescent="0.3">
      <c r="A15" s="3">
        <v>45672</v>
      </c>
      <c r="B15" t="s">
        <v>27</v>
      </c>
      <c r="C15" t="s">
        <v>21</v>
      </c>
      <c r="D15" t="s">
        <v>11</v>
      </c>
      <c r="E15">
        <v>25</v>
      </c>
      <c r="F15">
        <v>5</v>
      </c>
      <c r="G15" s="4">
        <f t="shared" si="0"/>
        <v>125</v>
      </c>
      <c r="H15" t="str">
        <f t="shared" si="1"/>
        <v>Jan-2025</v>
      </c>
    </row>
    <row r="16" spans="1:8" x14ac:dyDescent="0.3">
      <c r="A16" s="3">
        <v>45673</v>
      </c>
      <c r="B16" t="s">
        <v>28</v>
      </c>
      <c r="C16" t="s">
        <v>7</v>
      </c>
      <c r="D16" t="s">
        <v>14</v>
      </c>
      <c r="E16">
        <v>3</v>
      </c>
      <c r="F16">
        <v>220</v>
      </c>
      <c r="G16" s="4">
        <f t="shared" si="0"/>
        <v>660</v>
      </c>
      <c r="H16" t="str">
        <f t="shared" si="1"/>
        <v>Jan-2025</v>
      </c>
    </row>
    <row r="17" spans="1:8" x14ac:dyDescent="0.3">
      <c r="A17" s="3">
        <v>45674</v>
      </c>
      <c r="B17" t="s">
        <v>29</v>
      </c>
      <c r="C17" t="s">
        <v>10</v>
      </c>
      <c r="D17" t="s">
        <v>16</v>
      </c>
      <c r="E17">
        <v>2</v>
      </c>
      <c r="F17">
        <v>320</v>
      </c>
      <c r="G17" s="4">
        <f t="shared" si="0"/>
        <v>640</v>
      </c>
      <c r="H17" t="str">
        <f t="shared" si="1"/>
        <v>Jan-2025</v>
      </c>
    </row>
    <row r="18" spans="1:8" x14ac:dyDescent="0.3">
      <c r="A18" s="3">
        <v>45675</v>
      </c>
      <c r="B18" t="s">
        <v>30</v>
      </c>
      <c r="C18" t="s">
        <v>13</v>
      </c>
      <c r="D18" t="s">
        <v>8</v>
      </c>
      <c r="E18">
        <v>9</v>
      </c>
      <c r="F18">
        <v>45</v>
      </c>
      <c r="G18" s="4">
        <f t="shared" si="0"/>
        <v>405</v>
      </c>
      <c r="H18" t="str">
        <f t="shared" si="1"/>
        <v>Jan-2025</v>
      </c>
    </row>
    <row r="19" spans="1:8" x14ac:dyDescent="0.3">
      <c r="A19" s="3">
        <v>45676</v>
      </c>
      <c r="B19" t="s">
        <v>31</v>
      </c>
      <c r="C19" t="s">
        <v>21</v>
      </c>
      <c r="D19" t="s">
        <v>11</v>
      </c>
      <c r="E19">
        <v>30</v>
      </c>
      <c r="F19">
        <v>12</v>
      </c>
      <c r="G19" s="4">
        <f t="shared" si="0"/>
        <v>360</v>
      </c>
      <c r="H19" t="str">
        <f t="shared" si="1"/>
        <v>Jan-2025</v>
      </c>
    </row>
    <row r="20" spans="1:8" x14ac:dyDescent="0.3">
      <c r="A20" s="3">
        <v>45677</v>
      </c>
      <c r="B20" t="s">
        <v>32</v>
      </c>
      <c r="C20" t="s">
        <v>7</v>
      </c>
      <c r="D20" t="s">
        <v>14</v>
      </c>
      <c r="E20">
        <v>5</v>
      </c>
      <c r="F20">
        <v>95</v>
      </c>
      <c r="G20" s="4">
        <f t="shared" si="0"/>
        <v>475</v>
      </c>
      <c r="H20" t="str">
        <f t="shared" si="1"/>
        <v>Jan-2025</v>
      </c>
    </row>
    <row r="21" spans="1:8" x14ac:dyDescent="0.3">
      <c r="A21" s="3">
        <v>45678</v>
      </c>
      <c r="B21" t="s">
        <v>33</v>
      </c>
      <c r="C21" t="s">
        <v>10</v>
      </c>
      <c r="D21" t="s">
        <v>16</v>
      </c>
      <c r="E21">
        <v>3</v>
      </c>
      <c r="F21">
        <v>520</v>
      </c>
      <c r="G21" s="4">
        <f t="shared" si="0"/>
        <v>1560</v>
      </c>
      <c r="H21" t="str">
        <f t="shared" si="1"/>
        <v>Jan-2025</v>
      </c>
    </row>
    <row r="22" spans="1:8" x14ac:dyDescent="0.3">
      <c r="A22" s="3">
        <v>45679</v>
      </c>
      <c r="B22" t="s">
        <v>34</v>
      </c>
      <c r="C22" t="s">
        <v>13</v>
      </c>
      <c r="D22" t="s">
        <v>8</v>
      </c>
      <c r="E22">
        <v>12</v>
      </c>
      <c r="F22">
        <v>30</v>
      </c>
      <c r="G22" s="4">
        <f t="shared" si="0"/>
        <v>360</v>
      </c>
      <c r="H22" t="str">
        <f t="shared" si="1"/>
        <v>Jan-2025</v>
      </c>
    </row>
    <row r="23" spans="1:8" x14ac:dyDescent="0.3">
      <c r="A23" s="3">
        <v>45680</v>
      </c>
      <c r="B23" t="s">
        <v>35</v>
      </c>
      <c r="C23" t="s">
        <v>21</v>
      </c>
      <c r="D23" t="s">
        <v>11</v>
      </c>
      <c r="E23">
        <v>10</v>
      </c>
      <c r="F23">
        <v>20</v>
      </c>
      <c r="G23" s="4">
        <f t="shared" si="0"/>
        <v>200</v>
      </c>
      <c r="H23" t="str">
        <f t="shared" si="1"/>
        <v>Jan-2025</v>
      </c>
    </row>
    <row r="24" spans="1:8" x14ac:dyDescent="0.3">
      <c r="A24" s="3">
        <v>45681</v>
      </c>
      <c r="B24" t="s">
        <v>36</v>
      </c>
      <c r="C24" t="s">
        <v>7</v>
      </c>
      <c r="D24" t="s">
        <v>14</v>
      </c>
      <c r="E24">
        <v>4</v>
      </c>
      <c r="F24">
        <v>1000</v>
      </c>
      <c r="G24" s="4">
        <f t="shared" si="0"/>
        <v>4000</v>
      </c>
      <c r="H24" t="str">
        <f t="shared" si="1"/>
        <v>Jan-2025</v>
      </c>
    </row>
    <row r="25" spans="1:8" x14ac:dyDescent="0.3">
      <c r="A25" s="3">
        <v>45682</v>
      </c>
      <c r="B25" t="s">
        <v>37</v>
      </c>
      <c r="C25" t="s">
        <v>10</v>
      </c>
      <c r="D25" t="s">
        <v>16</v>
      </c>
      <c r="E25">
        <v>6</v>
      </c>
      <c r="F25">
        <v>35</v>
      </c>
      <c r="G25" s="4">
        <f t="shared" si="0"/>
        <v>210</v>
      </c>
      <c r="H25" t="str">
        <f t="shared" si="1"/>
        <v>Jan-2025</v>
      </c>
    </row>
    <row r="26" spans="1:8" x14ac:dyDescent="0.3">
      <c r="A26" s="3">
        <v>45683</v>
      </c>
      <c r="B26" t="s">
        <v>38</v>
      </c>
      <c r="C26" t="s">
        <v>13</v>
      </c>
      <c r="D26" t="s">
        <v>8</v>
      </c>
      <c r="E26">
        <v>7</v>
      </c>
      <c r="F26">
        <v>85</v>
      </c>
      <c r="G26" s="4">
        <f t="shared" si="0"/>
        <v>595</v>
      </c>
      <c r="H26" t="str">
        <f t="shared" si="1"/>
        <v>Jan-2025</v>
      </c>
    </row>
    <row r="27" spans="1:8" x14ac:dyDescent="0.3">
      <c r="G27" s="4">
        <f>SUM(G2:G26)</f>
        <v>26840</v>
      </c>
    </row>
    <row r="28" spans="1:8" x14ac:dyDescent="0.3">
      <c r="G28" s="4"/>
    </row>
    <row r="34" spans="4:4" x14ac:dyDescent="0.3">
      <c r="D34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Sheet4</vt:lpstr>
      <vt:lpstr>Sheet3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Chavidi Sravanthi</dc:creator>
  <cp:lastModifiedBy>Chavidi Sravanthi</cp:lastModifiedBy>
  <dcterms:created xsi:type="dcterms:W3CDTF">2026-01-15T07:05:36Z</dcterms:created>
  <dcterms:modified xsi:type="dcterms:W3CDTF">2026-01-15T07:36:16Z</dcterms:modified>
</cp:coreProperties>
</file>